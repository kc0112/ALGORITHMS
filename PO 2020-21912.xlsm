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activeTab="2"/>
  </bookViews>
  <sheets>
    <sheet name="PO2021" sheetId="13" r:id="rId1"/>
    <sheet name="PO1920" sheetId="1" r:id="rId2"/>
    <sheet name="MRC" sheetId="2" r:id="rId3"/>
    <sheet name="Bill_Pending" sheetId="3" r:id="rId4"/>
    <sheet name="HSD" sheetId="4" r:id="rId5"/>
    <sheet name="Absentee" sheetId="5" r:id="rId6"/>
    <sheet name="PO_JPR" sheetId="6" r:id="rId7"/>
    <sheet name="LD" sheetId="7" r:id="rId8"/>
    <sheet name="Email" sheetId="8" r:id="rId9"/>
  </sheets>
  <calcPr calcId="124519"/>
</workbook>
</file>

<file path=xl/calcChain.xml><?xml version="1.0" encoding="utf-8"?>
<calcChain xmlns="http://schemas.openxmlformats.org/spreadsheetml/2006/main">
  <c r="H11" i="1"/>
  <c r="J19" i="2"/>
  <c r="H19"/>
  <c r="G20"/>
  <c r="G19"/>
  <c r="H10" i="1"/>
  <c r="H8"/>
  <c r="H6"/>
  <c r="H3"/>
  <c r="H4"/>
  <c r="K23" i="13"/>
  <c r="K22"/>
</calcChain>
</file>

<file path=xl/sharedStrings.xml><?xml version="1.0" encoding="utf-8"?>
<sst xmlns="http://schemas.openxmlformats.org/spreadsheetml/2006/main" count="202" uniqueCount="94">
  <si>
    <t>Details of PO ( 2019-20)</t>
  </si>
  <si>
    <t xml:space="preserve">S No. </t>
  </si>
  <si>
    <t>File No.</t>
  </si>
  <si>
    <t xml:space="preserve">Firm </t>
  </si>
  <si>
    <t xml:space="preserve">Description </t>
  </si>
  <si>
    <t>PO value</t>
  </si>
  <si>
    <t>EC</t>
  </si>
  <si>
    <t>Date of Delivery period compelition</t>
  </si>
  <si>
    <t xml:space="preserve">Insurance </t>
  </si>
  <si>
    <t>Supply Received</t>
  </si>
  <si>
    <t>Inv. No.</t>
  </si>
  <si>
    <t xml:space="preserve">Date </t>
  </si>
  <si>
    <t>Invoice Amount</t>
  </si>
  <si>
    <t>Deduction</t>
  </si>
  <si>
    <t xml:space="preserve">Verified Amount </t>
  </si>
  <si>
    <t>Deduction if any</t>
  </si>
  <si>
    <t xml:space="preserve">Reason </t>
  </si>
  <si>
    <t xml:space="preserve">Payable Amount </t>
  </si>
  <si>
    <t xml:space="preserve">Remarks </t>
  </si>
  <si>
    <t>Dispatch No./Date</t>
  </si>
  <si>
    <t>Spares of Tushako made pumps</t>
  </si>
  <si>
    <t>RVUNL</t>
  </si>
  <si>
    <t>03.07.2020</t>
  </si>
  <si>
    <t>Inspection</t>
  </si>
  <si>
    <t>Works</t>
  </si>
  <si>
    <t xml:space="preserve">MATERIAL RECEIVING   REPORT </t>
  </si>
  <si>
    <t>May kindly arrange the nomination of inspecting officer to inspect the material at store, RGTPP, Ramgarh</t>
  </si>
  <si>
    <t xml:space="preserve">XEN (Store) </t>
  </si>
  <si>
    <t>AEN (Store)</t>
  </si>
  <si>
    <t>XEN (Proc.)</t>
  </si>
  <si>
    <t>Sr. No &amp;  Description of Material</t>
  </si>
  <si>
    <t xml:space="preserve">The following material has been received in store on dated </t>
  </si>
  <si>
    <t>Qty</t>
  </si>
  <si>
    <t>l</t>
  </si>
  <si>
    <t>Supply Status</t>
  </si>
  <si>
    <t>PO No</t>
  </si>
  <si>
    <t>Balance</t>
  </si>
  <si>
    <t>LD AM</t>
  </si>
  <si>
    <t>LD per</t>
  </si>
  <si>
    <t>LD weeks</t>
  </si>
  <si>
    <t>03.04.2020</t>
  </si>
  <si>
    <t>M/s nk pvt. Ltd. Udaipur</t>
  </si>
  <si>
    <t>sr</t>
  </si>
  <si>
    <t>qty</t>
  </si>
  <si>
    <r>
      <rPr>
        <b/>
        <sz val="12"/>
        <color theme="1"/>
        <rFont val="Calibri"/>
        <family val="2"/>
        <scheme val="minor"/>
      </rPr>
      <t>Status of PDI at supplier’s works</t>
    </r>
    <r>
      <rPr>
        <sz val="12"/>
        <color theme="1"/>
        <rFont val="Calibri"/>
        <family val="2"/>
        <scheme val="minor"/>
      </rPr>
      <t xml:space="preserve">       :    </t>
    </r>
  </si>
  <si>
    <t>Name of the firm:</t>
  </si>
  <si>
    <t>PO no. &amp; Date:</t>
  </si>
  <si>
    <t>Value of purchase:</t>
  </si>
  <si>
    <t>Material Description:</t>
  </si>
  <si>
    <t>OFFICE-ORDER</t>
  </si>
  <si>
    <t>Qty.</t>
  </si>
  <si>
    <t>Remarks</t>
  </si>
  <si>
    <t xml:space="preserve">Dy. CHIEF ENGINEER(RGTPP) </t>
  </si>
  <si>
    <t>RGTPP, RVUNL, Ramgarh</t>
  </si>
  <si>
    <t xml:space="preserve">Copy forwarded to the following for information and necessary action:- </t>
  </si>
  <si>
    <r>
      <t>1.</t>
    </r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The Chief Account Officer,RGTPP,RVUNL,Ramgarh.</t>
    </r>
  </si>
  <si>
    <r>
      <t>2.</t>
    </r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Sh……………………………………….Executive Engineer/Assistant Engineer (______) RGTPP, RVUNL, Ramgarh.</t>
    </r>
  </si>
  <si>
    <r>
      <t>3.</t>
    </r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The Executive Engineer (Store), RGTPP Ramgarh.</t>
    </r>
  </si>
  <si>
    <t xml:space="preserve">           He will submit inspection report to the undersigned &amp; copy to the Chief Account Officer, RGTPP, RVUNL, Ramgarh and the Assistant Engineer (Stores), RGTPP, RVUNL, Ramgarh.</t>
  </si>
  <si>
    <t>D.O.R.=</t>
  </si>
  <si>
    <t>days</t>
  </si>
  <si>
    <t>weeks</t>
  </si>
  <si>
    <t>months</t>
  </si>
  <si>
    <t>NR</t>
  </si>
  <si>
    <t>Yes</t>
  </si>
  <si>
    <t>1.00</t>
  </si>
  <si>
    <t>2.00</t>
  </si>
  <si>
    <t>clause</t>
  </si>
  <si>
    <t>1.01</t>
  </si>
  <si>
    <t>1.2</t>
  </si>
  <si>
    <t>1.3</t>
  </si>
  <si>
    <t>2.02</t>
  </si>
  <si>
    <t>2.22</t>
  </si>
  <si>
    <t>2.3</t>
  </si>
  <si>
    <t>2.5</t>
  </si>
  <si>
    <t>2.08</t>
  </si>
  <si>
    <t>INSURANCE</t>
  </si>
  <si>
    <t>CLAUSE</t>
  </si>
  <si>
    <t>Part Supply</t>
  </si>
  <si>
    <t>Complete Supply</t>
  </si>
  <si>
    <t>Supply Completed</t>
  </si>
  <si>
    <t>Ref:-</t>
  </si>
  <si>
    <t>M/s nk pvt. Ltddelhi</t>
  </si>
  <si>
    <t>y</t>
  </si>
  <si>
    <t>Show form</t>
  </si>
  <si>
    <t>w</t>
  </si>
  <si>
    <t>ww</t>
  </si>
  <si>
    <t>wz</t>
  </si>
  <si>
    <t>wwzz</t>
  </si>
  <si>
    <t>RVUNL/RGTPP/RMG/F.111/D.22 dtd. 03.04.2020</t>
  </si>
  <si>
    <t xml:space="preserve">  Sh. …………………………………………………………..Executive Engineer / Assistant Engineer (……………………) is hereby directed to inspect the material in store, received against purchase order no. RVUNL/RGTPP/RMG/F.111/D.22 dtd. 03.04.2020 as supplied from M/s nk pvt. Ltd. Udaipur as per the specification of purchase order. </t>
  </si>
  <si>
    <t>Rs. wz</t>
  </si>
  <si>
    <t>P.O. Sr. No. -  wz</t>
  </si>
  <si>
    <t>(wz)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</si>
</sst>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7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91">
    <xf numFmtId="0" fontId="0" fillId="0" borderId="0" xfId="0"/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7" xfId="0" applyBorder="1" applyAlignment="1">
      <alignment wrapText="1"/>
    </xf>
    <xf numFmtId="0" fontId="0" fillId="0" borderId="7" xfId="0" applyBorder="1" applyAlignment="1">
      <alignment vertical="center"/>
    </xf>
    <xf numFmtId="0" fontId="0" fillId="0" borderId="1" xfId="0" applyBorder="1" applyAlignment="1"/>
    <xf numFmtId="0" fontId="0" fillId="0" borderId="0" xfId="0" applyAlignment="1"/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 wrapText="1"/>
    </xf>
    <xf numFmtId="0" fontId="1" fillId="0" borderId="9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/>
    <xf numFmtId="0" fontId="5" fillId="0" borderId="0" xfId="0" applyFont="1" applyAlignment="1"/>
    <xf numFmtId="0" fontId="6" fillId="0" borderId="0" xfId="0" applyFont="1" applyAlignment="1">
      <alignment vertical="top"/>
    </xf>
    <xf numFmtId="0" fontId="1" fillId="0" borderId="14" xfId="0" applyFont="1" applyBorder="1" applyAlignment="1">
      <alignment horizontal="center" vertical="top" wrapText="1"/>
    </xf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0" fillId="0" borderId="2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2" fillId="0" borderId="3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 wrapText="1"/>
    </xf>
    <xf numFmtId="0" fontId="2" fillId="0" borderId="6" xfId="0" applyFont="1" applyBorder="1" applyAlignment="1" applyProtection="1">
      <alignment horizontal="center" vertical="center" wrapText="1"/>
    </xf>
    <xf numFmtId="0" fontId="1" fillId="0" borderId="10" xfId="0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19" xfId="0" applyFont="1" applyFill="1" applyBorder="1" applyAlignment="1" applyProtection="1">
      <alignment horizontal="center" vertical="center" wrapText="1"/>
    </xf>
    <xf numFmtId="0" fontId="9" fillId="0" borderId="7" xfId="1" applyFont="1" applyBorder="1" applyAlignment="1" applyProtection="1">
      <alignment horizontal="center" vertical="center"/>
    </xf>
    <xf numFmtId="14" fontId="0" fillId="0" borderId="1" xfId="0" applyNumberFormat="1" applyBorder="1" applyAlignment="1">
      <alignment vertical="center"/>
    </xf>
    <xf numFmtId="14" fontId="0" fillId="0" borderId="0" xfId="0" applyNumberFormat="1" applyAlignment="1">
      <alignment vertic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14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 applyAlignment="1">
      <alignment horizontal="justify"/>
    </xf>
    <xf numFmtId="0" fontId="0" fillId="0" borderId="21" xfId="0" applyBorder="1" applyAlignment="1">
      <alignment vertical="top" wrapText="1"/>
    </xf>
    <xf numFmtId="0" fontId="0" fillId="0" borderId="21" xfId="0" applyBorder="1" applyAlignment="1">
      <alignment horizontal="center" vertical="top" wrapText="1"/>
    </xf>
    <xf numFmtId="0" fontId="6" fillId="0" borderId="0" xfId="0" applyFont="1" applyAlignment="1">
      <alignment horizontal="center" vertical="top"/>
    </xf>
    <xf numFmtId="0" fontId="0" fillId="0" borderId="20" xfId="0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top" wrapText="1"/>
    </xf>
    <xf numFmtId="49" fontId="0" fillId="0" borderId="0" xfId="0" applyNumberFormat="1"/>
    <xf numFmtId="0" fontId="9" fillId="0" borderId="7" xfId="1" applyFont="1" applyBorder="1" applyAlignment="1" applyProtection="1">
      <alignment horizontal="left" vertical="center"/>
    </xf>
    <xf numFmtId="0" fontId="0" fillId="0" borderId="0" xfId="0" applyBorder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Border="1"/>
    <xf numFmtId="0" fontId="0" fillId="0" borderId="0" xfId="0" applyBorder="1" applyAlignment="1">
      <alignment wrapText="1"/>
    </xf>
    <xf numFmtId="0" fontId="2" fillId="0" borderId="0" xfId="0" applyFont="1" applyBorder="1" applyAlignment="1" applyProtection="1">
      <alignment horizontal="center" vertical="center"/>
    </xf>
    <xf numFmtId="0" fontId="0" fillId="0" borderId="0" xfId="0" applyBorder="1" applyAlignment="1">
      <alignment vertical="center" wrapText="1"/>
    </xf>
    <xf numFmtId="14" fontId="9" fillId="0" borderId="0" xfId="1" applyNumberFormat="1" applyFont="1" applyBorder="1" applyAlignment="1" applyProtection="1">
      <alignment horizontal="center" vertical="center"/>
    </xf>
    <xf numFmtId="14" fontId="0" fillId="0" borderId="0" xfId="0" applyNumberFormat="1" applyBorder="1"/>
    <xf numFmtId="14" fontId="0" fillId="0" borderId="0" xfId="0" applyNumberForma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left" vertical="center" textRotation="90"/>
      <protection locked="0"/>
    </xf>
    <xf numFmtId="0" fontId="0" fillId="0" borderId="17" xfId="0" applyFont="1" applyBorder="1" applyAlignment="1" applyProtection="1">
      <alignment horizontal="left" vertical="center" textRotation="90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center"/>
    </xf>
    <xf numFmtId="0" fontId="1" fillId="0" borderId="12" xfId="0" applyFont="1" applyBorder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14" fontId="0" fillId="0" borderId="14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0" fillId="0" borderId="0" xfId="0" applyAlignment="1">
      <alignment horizontal="justify" wrapText="1"/>
    </xf>
    <xf numFmtId="0" fontId="0" fillId="0" borderId="0" xfId="0" applyAlignment="1">
      <alignment horizontal="justify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13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0" xfId="0" applyFont="1" applyAlignment="1">
      <alignment horizontal="left"/>
    </xf>
    <xf numFmtId="0" fontId="1" fillId="0" borderId="15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/>
    </xf>
    <xf numFmtId="0" fontId="5" fillId="0" borderId="21" xfId="0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228;767"/>
  <ax:ocxPr ax:name="Value" ax:value="0"/>
  <ax:ocxPr ax:name="Caption" ax:value="Other"/>
  <ax:ocxPr ax:name="GroupName" ax:value="PO2021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228;767"/>
  <ax:ocxPr ax:name="Value" ax:value="1"/>
  <ax:ocxPr ax:name="Caption" ax:value="BG"/>
  <ax:ocxPr ax:name="GroupName" ax:value="PO2021"/>
  <ax:ocxPr ax:name="FontName" ax:value="Calibri"/>
  <ax:ocxPr ax:name="FontHeight" ax:value="225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228;767"/>
  <ax:ocxPr ax:name="Value" ax:value="0"/>
  <ax:ocxPr ax:name="Caption" ax:value="SD"/>
  <ax:ocxPr ax:name="GroupName" ax:value="PO2021"/>
  <ax:ocxPr ax:name="FontName" ax:value="Calibri"/>
  <ax:ocxPr ax:name="FontHeight" ax:value="225"/>
  <ax:ocxPr ax:name="FontCharSet" ax:value="0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228;767"/>
  <ax:ocxPr ax:name="Value" ax:value="0"/>
  <ax:ocxPr ax:name="Caption" ax:value="F &amp; I"/>
  <ax:ocxPr ax:name="GroupName" ax:value="PO2021"/>
  <ax:ocxPr ax:name="FontName" ax:value="Calibri"/>
  <ax:ocxPr ax:name="FontHeight" ax:value="225"/>
  <ax:ocxPr ax:name="FontCharSet" ax:value="0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228;767"/>
  <ax:ocxPr ax:name="Value" ax:value="0"/>
  <ax:ocxPr ax:name="Caption" ax:value="GC / WC"/>
  <ax:ocxPr ax:name="GroupName" ax:value="PO2021"/>
  <ax:ocxPr ax:name="FontName" ax:value="Calibri"/>
  <ax:ocxPr ax:name="FontHeight" ax:value="22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228;767"/>
  <ax:ocxPr ax:name="Value" ax:value="0"/>
  <ax:ocxPr ax:name="Caption" ax:value="Contact &#10;CA"/>
  <ax:ocxPr ax:name="GroupName" ax:value="PO2021"/>
  <ax:ocxPr ax:name="FontName" ax:value="Calibri"/>
  <ax:ocxPr ax:name="FontHeight" ax:value="225"/>
  <ax:ocxPr ax:name="FontCharSet" ax:value="0"/>
  <ax:ocxPr ax:name="FontPitchAndFamily" ax:value="2"/>
</ax:ocx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228;767"/>
  <ax:ocxPr ax:name="Value" ax:value="0"/>
  <ax:ocxPr ax:name="Caption" ax:value="Test "/>
  <ax:ocxPr ax:name="GroupName" ax:value="PO2021"/>
  <ax:ocxPr ax:name="FontName" ax:value="Calibri"/>
  <ax:ocxPr ax:name="FontHeight" ax:value="225"/>
  <ax:ocxPr ax:name="FontCharSet" ax:value="0"/>
  <ax:ocxPr ax:name="FontPitchAndFamily" ax:value="2"/>
</ax:ocx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228;767"/>
  <ax:ocxPr ax:name="Value" ax:value="1"/>
  <ax:ocxPr ax:name="Caption" ax:value="Site Inspection"/>
  <ax:ocxPr ax:name="GroupName" ax:value="PO2021"/>
  <ax:ocxPr ax:name="FontName" ax:value="Calibri"/>
  <ax:ocxPr ax:name="FontHeight" ax:value="225"/>
  <ax:ocxPr ax:name="FontCharSet" ax:value="0"/>
  <ax:ocxPr ax:name="FontPitchAndFamily" ax:value="2"/>
</ax:ocx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228;767"/>
  <ax:ocxPr ax:name="Value" ax:value="0"/>
  <ax:ocxPr ax:name="Caption" ax:value="Frieght "/>
  <ax:ocxPr ax:name="GroupName" ax:value="PO2021"/>
  <ax:ocxPr ax:name="FontName" ax:value="Calibri"/>
  <ax:ocxPr ax:name="FontHeight" ax:value="225"/>
  <ax:ocxPr ax:name="FontCharSet" ax:value="0"/>
  <ax:ocxPr ax:name="FontPitchAndFamily" ax:value="2"/>
</ax:ocx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228;767"/>
  <ax:ocxPr ax:name="Value" ax:value="0"/>
  <ax:ocxPr ax:name="Caption" ax:value="Insurance"/>
  <ax:ocxPr ax:name="GroupName" ax:value="PO2021"/>
  <ax:ocxPr ax:name="FontName" ax:value="Calibri"/>
  <ax:ocxPr ax:name="FontHeight" ax:value="225"/>
  <ax:ocxPr ax:name="FontCharSet" ax:value="0"/>
  <ax:ocxPr ax:name="FontPitchAndFamily" ax:value="2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PO 2019 20"/>
  <ax:ocxPr ax:name="Size" ax:value="5239;90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Email"/>
  <ax:ocxPr ax:name="Size" ax:value="1640;119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8388635"/>
  <ax:ocxPr ax:name="Caption" ax:value="Generate Reciving Report &amp; Inspection order"/>
  <ax:ocxPr ax:name="Size" ax:value="4842;1217"/>
  <ax:ocxPr ax:name="FontName" ax:value="Calibri"/>
  <ax:ocxPr ax:name="FontEffects" ax:value="1073741825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0</xdr:row>
      <xdr:rowOff>142875</xdr:rowOff>
    </xdr:from>
    <xdr:to>
      <xdr:col>4</xdr:col>
      <xdr:colOff>1828800</xdr:colOff>
      <xdr:row>0</xdr:row>
      <xdr:rowOff>447675</xdr:rowOff>
    </xdr:to>
    <xdr:sp macro="[0]!prin" textlink="">
      <xdr:nvSpPr>
        <xdr:cNvPr id="2" name="Rectangle 1"/>
        <xdr:cNvSpPr/>
      </xdr:nvSpPr>
      <xdr:spPr>
        <a:xfrm>
          <a:off x="4600575" y="142875"/>
          <a:ext cx="15621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print</a:t>
          </a:r>
        </a:p>
      </xdr:txBody>
    </xdr:sp>
    <xdr:clientData/>
  </xdr:twoCellAnchor>
  <xdr:twoCellAnchor editAs="oneCell">
    <xdr:from>
      <xdr:col>5</xdr:col>
      <xdr:colOff>0</xdr:colOff>
      <xdr:row>0</xdr:row>
      <xdr:rowOff>495300</xdr:rowOff>
    </xdr:from>
    <xdr:to>
      <xdr:col>10</xdr:col>
      <xdr:colOff>76200</xdr:colOff>
      <xdr:row>9</xdr:row>
      <xdr:rowOff>95250</xdr:rowOff>
    </xdr:to>
    <xdr:pic>
      <xdr:nvPicPr>
        <xdr:cNvPr id="9" name="Picture 8" descr="leterhead.jp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91400" y="495300"/>
          <a:ext cx="6791325" cy="2343150"/>
        </a:xfrm>
        <a:prstGeom prst="rect">
          <a:avLst/>
        </a:prstGeom>
      </xdr:spPr>
    </xdr:pic>
    <xdr:clientData/>
  </xdr:twoCellAnchor>
  <xdr:twoCellAnchor>
    <xdr:from>
      <xdr:col>6</xdr:col>
      <xdr:colOff>209550</xdr:colOff>
      <xdr:row>0</xdr:row>
      <xdr:rowOff>66675</xdr:rowOff>
    </xdr:from>
    <xdr:to>
      <xdr:col>6</xdr:col>
      <xdr:colOff>1657350</xdr:colOff>
      <xdr:row>0</xdr:row>
      <xdr:rowOff>419100</xdr:rowOff>
    </xdr:to>
    <xdr:sp macro="[0]!prin2" textlink="">
      <xdr:nvSpPr>
        <xdr:cNvPr id="10" name="Rectangle 9"/>
        <xdr:cNvSpPr/>
      </xdr:nvSpPr>
      <xdr:spPr>
        <a:xfrm>
          <a:off x="8391525" y="66675"/>
          <a:ext cx="14478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2:K39"/>
  <sheetViews>
    <sheetView workbookViewId="0">
      <selection activeCell="G12" sqref="G12"/>
    </sheetView>
  </sheetViews>
  <sheetFormatPr defaultRowHeight="15"/>
  <cols>
    <col min="2" max="2" width="19.28515625" customWidth="1"/>
    <col min="3" max="3" width="49.42578125" customWidth="1"/>
    <col min="4" max="4" width="10.5703125" customWidth="1"/>
    <col min="7" max="7" width="21" customWidth="1"/>
    <col min="8" max="8" width="10.7109375" bestFit="1" customWidth="1"/>
  </cols>
  <sheetData>
    <row r="2" spans="1:10" ht="26.25" customHeight="1"/>
    <row r="3" spans="1:10">
      <c r="B3" t="s">
        <v>84</v>
      </c>
      <c r="F3">
        <v>1</v>
      </c>
    </row>
    <row r="4" spans="1:10">
      <c r="A4" s="55"/>
      <c r="B4" s="55"/>
      <c r="C4" s="55"/>
      <c r="D4" s="55"/>
    </row>
    <row r="5" spans="1:10">
      <c r="A5" s="55"/>
      <c r="B5" s="34"/>
      <c r="C5" s="53"/>
      <c r="D5" s="55"/>
      <c r="E5" s="55"/>
      <c r="F5" s="34"/>
      <c r="G5" s="60"/>
      <c r="H5" s="60"/>
      <c r="I5" s="55"/>
    </row>
    <row r="6" spans="1:10">
      <c r="A6" s="55"/>
      <c r="B6" s="34"/>
      <c r="C6" s="56"/>
      <c r="D6" s="55"/>
      <c r="E6" s="55"/>
      <c r="F6" s="34"/>
      <c r="G6" s="55"/>
      <c r="H6" s="55"/>
      <c r="I6" s="55"/>
    </row>
    <row r="7" spans="1:10">
      <c r="A7" s="55"/>
      <c r="B7" s="57"/>
      <c r="C7" s="58"/>
      <c r="D7" s="55"/>
      <c r="E7" s="55"/>
      <c r="F7" s="57"/>
      <c r="G7" s="55"/>
      <c r="H7" s="55"/>
      <c r="I7" s="55"/>
    </row>
    <row r="8" spans="1:10">
      <c r="A8" s="55"/>
      <c r="B8" s="34"/>
      <c r="C8" s="58"/>
      <c r="D8" s="55"/>
      <c r="E8" s="55"/>
      <c r="F8" s="57"/>
      <c r="G8" s="55"/>
      <c r="H8" s="55"/>
      <c r="I8" s="55"/>
    </row>
    <row r="9" spans="1:10">
      <c r="A9" s="55"/>
      <c r="B9" s="34"/>
      <c r="C9" s="59"/>
      <c r="D9" s="55"/>
      <c r="E9" s="55"/>
      <c r="F9" s="57"/>
      <c r="G9" s="63"/>
      <c r="H9" s="63"/>
      <c r="I9" s="63"/>
    </row>
    <row r="10" spans="1:10">
      <c r="A10" s="55"/>
      <c r="B10" s="57"/>
      <c r="C10" s="53"/>
      <c r="D10" s="55"/>
      <c r="E10" s="55"/>
      <c r="F10" s="34"/>
      <c r="G10" s="55"/>
      <c r="H10" s="55"/>
      <c r="I10" s="55"/>
    </row>
    <row r="11" spans="1:10">
      <c r="A11" s="55"/>
      <c r="B11" s="57"/>
      <c r="C11" s="53"/>
      <c r="D11" s="55"/>
      <c r="F11" s="34"/>
    </row>
    <row r="12" spans="1:10">
      <c r="A12" s="55"/>
      <c r="B12" s="34"/>
      <c r="C12" s="53"/>
      <c r="D12" s="60"/>
    </row>
    <row r="13" spans="1:10" ht="25.5" customHeight="1">
      <c r="A13" s="55"/>
      <c r="B13" s="34"/>
      <c r="C13" s="53"/>
      <c r="D13" s="55"/>
      <c r="I13" s="34"/>
    </row>
    <row r="14" spans="1:10">
      <c r="A14" s="55"/>
      <c r="B14" s="34"/>
      <c r="C14" s="61"/>
      <c r="D14" s="55"/>
    </row>
    <row r="15" spans="1:10" ht="15.75" thickBot="1">
      <c r="A15" s="55"/>
      <c r="B15" s="34"/>
      <c r="C15" s="62"/>
      <c r="D15" s="55"/>
    </row>
    <row r="16" spans="1:10" ht="15.75" thickBot="1">
      <c r="A16" t="s">
        <v>67</v>
      </c>
      <c r="J16" s="30" t="s">
        <v>13</v>
      </c>
    </row>
    <row r="17" spans="1:11" ht="23.25" customHeight="1" thickBot="1">
      <c r="A17" s="51" t="s">
        <v>65</v>
      </c>
      <c r="B17" s="35"/>
      <c r="C17" s="5" t="s">
        <v>63</v>
      </c>
      <c r="D17" s="51"/>
      <c r="J17" s="29" t="s">
        <v>14</v>
      </c>
      <c r="K17">
        <v>100</v>
      </c>
    </row>
    <row r="18" spans="1:11" ht="23.25" customHeight="1" thickBot="1">
      <c r="A18" s="51" t="s">
        <v>68</v>
      </c>
      <c r="B18" s="35"/>
      <c r="C18" s="4" t="s">
        <v>63</v>
      </c>
      <c r="D18" s="51"/>
      <c r="J18" s="29" t="s">
        <v>15</v>
      </c>
    </row>
    <row r="19" spans="1:11" ht="23.25" customHeight="1" thickBot="1">
      <c r="A19" s="51" t="s">
        <v>69</v>
      </c>
      <c r="C19" s="10" t="s">
        <v>64</v>
      </c>
      <c r="D19" s="51"/>
      <c r="E19" s="35"/>
      <c r="J19" s="29" t="s">
        <v>16</v>
      </c>
    </row>
    <row r="20" spans="1:11" ht="23.25" customHeight="1" thickBot="1">
      <c r="A20" s="51" t="s">
        <v>70</v>
      </c>
      <c r="C20" s="10" t="s">
        <v>63</v>
      </c>
      <c r="D20" s="51"/>
      <c r="E20" s="35"/>
    </row>
    <row r="21" spans="1:11" ht="23.25" customHeight="1" thickBot="1">
      <c r="A21" s="51" t="s">
        <v>66</v>
      </c>
      <c r="C21" s="52" t="s">
        <v>63</v>
      </c>
      <c r="D21" s="51"/>
      <c r="E21" s="35"/>
      <c r="J21" t="s">
        <v>39</v>
      </c>
      <c r="K21">
        <v>2</v>
      </c>
    </row>
    <row r="22" spans="1:11" ht="23.25" customHeight="1" thickBot="1">
      <c r="A22" s="51" t="s">
        <v>71</v>
      </c>
      <c r="C22" s="5" t="s">
        <v>63</v>
      </c>
      <c r="D22" s="51"/>
      <c r="E22" s="35"/>
      <c r="J22" s="35" t="s">
        <v>38</v>
      </c>
      <c r="K22">
        <f>K21/2</f>
        <v>1</v>
      </c>
    </row>
    <row r="23" spans="1:11" ht="23.25" customHeight="1" thickBot="1">
      <c r="A23" s="51" t="s">
        <v>72</v>
      </c>
      <c r="C23" s="5" t="s">
        <v>63</v>
      </c>
      <c r="D23" s="51"/>
      <c r="E23" s="35"/>
      <c r="J23" s="29" t="s">
        <v>37</v>
      </c>
      <c r="K23">
        <f>K17*K22/100</f>
        <v>1</v>
      </c>
    </row>
    <row r="24" spans="1:11" ht="23.25" customHeight="1" thickBot="1">
      <c r="A24" s="51" t="s">
        <v>73</v>
      </c>
      <c r="C24" s="5" t="s">
        <v>63</v>
      </c>
      <c r="D24" s="51"/>
      <c r="E24" s="35"/>
    </row>
    <row r="25" spans="1:11" ht="23.25" customHeight="1" thickBot="1">
      <c r="A25" s="51" t="s">
        <v>74</v>
      </c>
      <c r="C25" s="5" t="s">
        <v>64</v>
      </c>
      <c r="D25" s="51"/>
      <c r="E25" s="35"/>
    </row>
    <row r="26" spans="1:11" ht="23.25" customHeight="1" thickBot="1">
      <c r="A26" s="51" t="s">
        <v>75</v>
      </c>
      <c r="C26" s="5" t="s">
        <v>63</v>
      </c>
      <c r="D26" s="51"/>
      <c r="J26" s="29" t="s">
        <v>17</v>
      </c>
    </row>
    <row r="27" spans="1:11" ht="24.75" thickBot="1">
      <c r="C27" s="11"/>
      <c r="J27" s="32" t="s">
        <v>19</v>
      </c>
    </row>
    <row r="28" spans="1:11">
      <c r="J28" s="36" t="s">
        <v>36</v>
      </c>
    </row>
    <row r="37" spans="4:7">
      <c r="D37" t="s">
        <v>60</v>
      </c>
      <c r="G37" t="s">
        <v>78</v>
      </c>
    </row>
    <row r="38" spans="4:7">
      <c r="D38" t="s">
        <v>61</v>
      </c>
      <c r="G38" t="s">
        <v>79</v>
      </c>
    </row>
    <row r="39" spans="4:7">
      <c r="D39" t="s">
        <v>62</v>
      </c>
      <c r="G39" t="s">
        <v>80</v>
      </c>
    </row>
  </sheetData>
  <mergeCells count="1">
    <mergeCell ref="G9:I9"/>
  </mergeCells>
  <pageMargins left="0.7" right="0.7" top="0.75" bottom="0.75" header="0.3" footer="0.3"/>
  <pageSetup scale="55" orientation="portrait" horizontalDpi="300" verticalDpi="300" r:id="rId1"/>
  <legacyDrawing r:id="rId2"/>
  <controls>
    <control shapeId="3094" r:id="rId3" name="CheckBox10"/>
    <control shapeId="3093" r:id="rId4" name="CheckBox9"/>
    <control shapeId="3092" r:id="rId5" name="CheckBox8"/>
    <control shapeId="3091" r:id="rId6" name="CheckBox7"/>
    <control shapeId="3090" r:id="rId7" name="CheckBox6"/>
    <control shapeId="3089" r:id="rId8" name="CheckBox5"/>
    <control shapeId="3088" r:id="rId9" name="CheckBox4"/>
    <control shapeId="3087" r:id="rId10" name="CheckBox3"/>
    <control shapeId="3086" r:id="rId11" name="CheckBox2"/>
    <control shapeId="3080" r:id="rId12" name="CheckBox1"/>
    <control shapeId="3100" r:id="rId1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BN1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L4" sqref="L4"/>
    </sheetView>
  </sheetViews>
  <sheetFormatPr defaultRowHeight="15"/>
  <cols>
    <col min="1" max="1" width="6" bestFit="1" customWidth="1"/>
    <col min="2" max="2" width="6.42578125" bestFit="1" customWidth="1"/>
    <col min="3" max="3" width="27.5703125" customWidth="1"/>
    <col min="4" max="4" width="33.28515625" style="7" customWidth="1"/>
    <col min="5" max="5" width="14.28515625" style="7" customWidth="1"/>
    <col min="6" max="6" width="15" style="9" customWidth="1"/>
    <col min="7" max="7" width="9.140625" style="9"/>
    <col min="8" max="8" width="10.42578125" style="9" customWidth="1"/>
    <col min="9" max="10" width="9.140625" style="9" customWidth="1"/>
    <col min="11" max="11" width="10.140625" style="9" bestFit="1" customWidth="1"/>
    <col min="12" max="12" width="10.7109375" style="9" customWidth="1"/>
    <col min="13" max="13" width="3.7109375" style="9" bestFit="1" customWidth="1"/>
    <col min="14" max="14" width="4.5703125" style="9" bestFit="1" customWidth="1"/>
    <col min="15" max="18" width="3.7109375" style="9" bestFit="1" customWidth="1"/>
    <col min="19" max="31" width="3.7109375" style="9" customWidth="1"/>
    <col min="32" max="32" width="4.42578125" style="9" customWidth="1"/>
    <col min="33" max="33" width="10.7109375" style="9" bestFit="1" customWidth="1"/>
    <col min="34" max="35" width="10.7109375" style="9" customWidth="1"/>
    <col min="36" max="36" width="11" style="9" bestFit="1" customWidth="1"/>
    <col min="37" max="37" width="9.140625" style="9"/>
    <col min="38" max="38" width="10.140625" style="9" bestFit="1" customWidth="1"/>
    <col min="39" max="39" width="9.140625" style="9"/>
    <col min="40" max="40" width="3.7109375" style="9" bestFit="1" customWidth="1"/>
    <col min="41" max="41" width="4.5703125" style="9" bestFit="1" customWidth="1"/>
    <col min="42" max="45" width="3.7109375" style="9" bestFit="1" customWidth="1"/>
    <col min="46" max="58" width="3.7109375" style="9" customWidth="1"/>
    <col min="59" max="59" width="4.42578125" style="9" customWidth="1"/>
    <col min="60" max="64" width="9.140625" style="9"/>
  </cols>
  <sheetData>
    <row r="1" spans="1:66" s="26" customFormat="1" ht="41.25" customHeight="1" thickBot="1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23">
        <v>9</v>
      </c>
      <c r="M1" s="64" t="s">
        <v>76</v>
      </c>
      <c r="N1" s="64" t="s">
        <v>77</v>
      </c>
      <c r="O1" s="64" t="s">
        <v>76</v>
      </c>
      <c r="P1" s="64" t="s">
        <v>77</v>
      </c>
      <c r="Q1" s="64" t="s">
        <v>76</v>
      </c>
      <c r="R1" s="64" t="s">
        <v>77</v>
      </c>
      <c r="S1" s="64" t="s">
        <v>76</v>
      </c>
      <c r="T1" s="64" t="s">
        <v>77</v>
      </c>
      <c r="U1" s="64" t="s">
        <v>76</v>
      </c>
      <c r="V1" s="64" t="s">
        <v>77</v>
      </c>
      <c r="W1" s="64" t="s">
        <v>76</v>
      </c>
      <c r="X1" s="64" t="s">
        <v>77</v>
      </c>
      <c r="Y1" s="64" t="s">
        <v>76</v>
      </c>
      <c r="Z1" s="64" t="s">
        <v>77</v>
      </c>
      <c r="AA1" s="64" t="s">
        <v>76</v>
      </c>
      <c r="AB1" s="64" t="s">
        <v>77</v>
      </c>
      <c r="AC1" s="64" t="s">
        <v>76</v>
      </c>
      <c r="AD1" s="64" t="s">
        <v>77</v>
      </c>
      <c r="AE1" s="64" t="s">
        <v>76</v>
      </c>
      <c r="AF1" s="64" t="s">
        <v>77</v>
      </c>
      <c r="AG1" s="24"/>
      <c r="AH1" s="24"/>
      <c r="AI1" s="24"/>
      <c r="AJ1" s="24"/>
      <c r="AK1" s="24"/>
      <c r="AL1" s="24"/>
      <c r="AM1" s="24"/>
      <c r="AN1" s="64" t="s">
        <v>76</v>
      </c>
      <c r="AO1" s="64" t="s">
        <v>77</v>
      </c>
      <c r="AP1" s="64" t="s">
        <v>76</v>
      </c>
      <c r="AQ1" s="64" t="s">
        <v>77</v>
      </c>
      <c r="AR1" s="64" t="s">
        <v>76</v>
      </c>
      <c r="AS1" s="64" t="s">
        <v>77</v>
      </c>
      <c r="AT1" s="64" t="s">
        <v>76</v>
      </c>
      <c r="AU1" s="64" t="s">
        <v>77</v>
      </c>
      <c r="AV1" s="64" t="s">
        <v>76</v>
      </c>
      <c r="AW1" s="64" t="s">
        <v>77</v>
      </c>
      <c r="AX1" s="64" t="s">
        <v>76</v>
      </c>
      <c r="AY1" s="64" t="s">
        <v>77</v>
      </c>
      <c r="AZ1" s="64" t="s">
        <v>76</v>
      </c>
      <c r="BA1" s="64" t="s">
        <v>77</v>
      </c>
      <c r="BB1" s="64" t="s">
        <v>76</v>
      </c>
      <c r="BC1" s="64" t="s">
        <v>77</v>
      </c>
      <c r="BD1" s="64" t="s">
        <v>76</v>
      </c>
      <c r="BE1" s="64" t="s">
        <v>77</v>
      </c>
      <c r="BF1" s="64" t="s">
        <v>76</v>
      </c>
      <c r="BG1" s="64" t="s">
        <v>77</v>
      </c>
      <c r="BH1" s="24"/>
      <c r="BI1" s="24"/>
      <c r="BJ1" s="24"/>
      <c r="BK1" s="24"/>
      <c r="BL1" s="24"/>
      <c r="BM1" s="24"/>
      <c r="BN1" s="25"/>
    </row>
    <row r="2" spans="1:66" s="27" customFormat="1" ht="48.75" customHeight="1" thickBot="1">
      <c r="A2" s="28" t="s">
        <v>1</v>
      </c>
      <c r="B2" s="29" t="s">
        <v>2</v>
      </c>
      <c r="C2" s="29" t="s">
        <v>3</v>
      </c>
      <c r="D2" s="30" t="s">
        <v>4</v>
      </c>
      <c r="E2" s="30" t="s">
        <v>35</v>
      </c>
      <c r="F2" s="29" t="s">
        <v>11</v>
      </c>
      <c r="G2" s="30" t="s">
        <v>5</v>
      </c>
      <c r="H2" s="30" t="s">
        <v>6</v>
      </c>
      <c r="I2" s="29" t="s">
        <v>23</v>
      </c>
      <c r="J2" s="29"/>
      <c r="K2" s="29" t="s">
        <v>7</v>
      </c>
      <c r="L2" s="29" t="s">
        <v>8</v>
      </c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29" t="s">
        <v>9</v>
      </c>
      <c r="AH2" s="30" t="s">
        <v>10</v>
      </c>
      <c r="AI2" s="30" t="s">
        <v>11</v>
      </c>
      <c r="AJ2" s="29" t="s">
        <v>42</v>
      </c>
      <c r="AK2" s="29" t="s">
        <v>43</v>
      </c>
      <c r="AL2" s="29" t="s">
        <v>12</v>
      </c>
      <c r="AM2" s="29" t="s">
        <v>34</v>
      </c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30" t="s">
        <v>13</v>
      </c>
      <c r="BI2" s="29" t="s">
        <v>14</v>
      </c>
      <c r="BJ2" s="29" t="s">
        <v>15</v>
      </c>
      <c r="BK2" s="29" t="s">
        <v>16</v>
      </c>
      <c r="BL2" s="29" t="s">
        <v>17</v>
      </c>
      <c r="BM2" s="31" t="s">
        <v>18</v>
      </c>
      <c r="BN2" s="32" t="s">
        <v>19</v>
      </c>
    </row>
    <row r="3" spans="1:66" ht="36" customHeight="1" thickBot="1">
      <c r="A3" s="1">
        <v>1</v>
      </c>
      <c r="B3" s="5">
        <v>13</v>
      </c>
      <c r="C3" s="4" t="s">
        <v>41</v>
      </c>
      <c r="D3" s="10" t="s">
        <v>20</v>
      </c>
      <c r="E3" s="10">
        <v>1234</v>
      </c>
      <c r="F3" s="37" t="s">
        <v>40</v>
      </c>
      <c r="G3" s="5">
        <v>291465</v>
      </c>
      <c r="H3" s="5">
        <f t="shared" ref="H3:H10" si="0">G3*1.18</f>
        <v>343928.69999999995</v>
      </c>
      <c r="I3" s="5" t="s">
        <v>24</v>
      </c>
      <c r="J3" s="5">
        <v>20</v>
      </c>
      <c r="K3" s="5" t="s">
        <v>22</v>
      </c>
      <c r="L3" s="11" t="s">
        <v>21</v>
      </c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29"/>
      <c r="AI3" s="5"/>
      <c r="AJ3" s="29"/>
      <c r="AK3" s="29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2"/>
      <c r="BN3" s="3"/>
    </row>
    <row r="4" spans="1:66" ht="15.75" thickBot="1">
      <c r="A4" s="1">
        <v>2</v>
      </c>
      <c r="B4" s="5">
        <v>45</v>
      </c>
      <c r="C4" s="4" t="s">
        <v>41</v>
      </c>
      <c r="D4" s="10" t="s">
        <v>20</v>
      </c>
      <c r="E4" s="10">
        <v>123</v>
      </c>
      <c r="F4" s="37" t="s">
        <v>40</v>
      </c>
      <c r="G4" s="5">
        <v>291465</v>
      </c>
      <c r="H4" s="5">
        <f t="shared" si="0"/>
        <v>343928.69999999995</v>
      </c>
      <c r="I4" s="5" t="s">
        <v>24</v>
      </c>
      <c r="J4" s="5">
        <v>20</v>
      </c>
      <c r="K4" s="5" t="s">
        <v>22</v>
      </c>
      <c r="L4" s="11" t="s">
        <v>21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38"/>
      <c r="AH4" s="8"/>
      <c r="AI4" s="38"/>
      <c r="AJ4" s="8"/>
      <c r="AK4" s="8"/>
      <c r="AL4" s="8"/>
      <c r="AM4" s="8"/>
      <c r="AN4" s="8" t="s">
        <v>83</v>
      </c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1"/>
      <c r="BN4" s="1"/>
    </row>
    <row r="5" spans="1:66" ht="15.75" thickBot="1">
      <c r="A5" s="1">
        <v>3</v>
      </c>
      <c r="B5" s="5">
        <v>46</v>
      </c>
      <c r="C5" s="4" t="s">
        <v>41</v>
      </c>
      <c r="D5" s="10" t="s">
        <v>20</v>
      </c>
      <c r="E5" s="10">
        <v>1221</v>
      </c>
      <c r="F5" s="37" t="s">
        <v>40</v>
      </c>
      <c r="G5" s="5">
        <v>291464</v>
      </c>
      <c r="H5" s="5">
        <v>343928.7</v>
      </c>
      <c r="I5" s="5" t="s">
        <v>24</v>
      </c>
      <c r="J5" s="5">
        <v>20</v>
      </c>
      <c r="K5" s="5" t="s">
        <v>22</v>
      </c>
      <c r="L5" s="11" t="s">
        <v>21</v>
      </c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1"/>
      <c r="BN5" s="1"/>
    </row>
    <row r="6" spans="1:66" ht="15.75" thickBot="1">
      <c r="A6" s="1">
        <v>4</v>
      </c>
      <c r="B6" s="5">
        <v>11</v>
      </c>
      <c r="C6" s="4" t="s">
        <v>41</v>
      </c>
      <c r="D6" s="10" t="s">
        <v>20</v>
      </c>
      <c r="E6" s="10">
        <v>1111</v>
      </c>
      <c r="F6" s="37" t="s">
        <v>40</v>
      </c>
      <c r="G6" s="5">
        <v>291465</v>
      </c>
      <c r="H6" s="5">
        <f t="shared" si="0"/>
        <v>343928.69999999995</v>
      </c>
      <c r="I6" s="5" t="s">
        <v>24</v>
      </c>
      <c r="J6" s="5">
        <v>20</v>
      </c>
      <c r="K6" s="5" t="s">
        <v>22</v>
      </c>
      <c r="L6" s="11" t="s">
        <v>21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3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1"/>
      <c r="BN6" s="1"/>
    </row>
    <row r="7" spans="1:66" ht="15.75" thickBot="1">
      <c r="A7" s="1">
        <v>5</v>
      </c>
      <c r="B7" s="5">
        <v>12</v>
      </c>
      <c r="C7" s="4" t="s">
        <v>82</v>
      </c>
      <c r="D7" s="10" t="s">
        <v>20</v>
      </c>
      <c r="E7" s="10">
        <v>34</v>
      </c>
      <c r="F7" s="37" t="s">
        <v>40</v>
      </c>
      <c r="G7" s="5">
        <v>291</v>
      </c>
      <c r="H7" s="5">
        <v>343928.7</v>
      </c>
      <c r="I7" s="5" t="s">
        <v>24</v>
      </c>
      <c r="J7" s="5">
        <v>20</v>
      </c>
      <c r="K7" s="5" t="s">
        <v>22</v>
      </c>
      <c r="L7" s="11" t="s">
        <v>21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1"/>
      <c r="BN7" s="1"/>
    </row>
    <row r="8" spans="1:66" ht="15.75" thickBot="1">
      <c r="A8" s="1">
        <v>6.01</v>
      </c>
      <c r="B8" s="5">
        <v>111</v>
      </c>
      <c r="C8" s="4" t="s">
        <v>41</v>
      </c>
      <c r="D8" s="10" t="s">
        <v>20</v>
      </c>
      <c r="E8" s="10">
        <v>22</v>
      </c>
      <c r="F8" s="37" t="s">
        <v>40</v>
      </c>
      <c r="G8" s="5">
        <v>291465</v>
      </c>
      <c r="H8" s="5">
        <f t="shared" si="0"/>
        <v>343928.69999999995</v>
      </c>
      <c r="I8" s="5" t="s">
        <v>24</v>
      </c>
      <c r="J8" s="5">
        <v>20</v>
      </c>
      <c r="K8" s="5" t="s">
        <v>22</v>
      </c>
      <c r="L8" s="11" t="s">
        <v>21</v>
      </c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38">
        <v>44229</v>
      </c>
      <c r="AH8" s="8" t="s">
        <v>85</v>
      </c>
      <c r="AI8" s="8" t="s">
        <v>85</v>
      </c>
      <c r="AJ8" s="8" t="s">
        <v>85</v>
      </c>
      <c r="AK8" s="8" t="s">
        <v>86</v>
      </c>
      <c r="AL8" s="8" t="s">
        <v>85</v>
      </c>
      <c r="AM8" s="8" t="s">
        <v>85</v>
      </c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1"/>
      <c r="BN8" s="1"/>
    </row>
    <row r="9" spans="1:66" ht="15.75" thickBot="1">
      <c r="A9" s="1">
        <v>6.02</v>
      </c>
      <c r="B9" s="5"/>
      <c r="C9" s="4"/>
      <c r="D9" s="10"/>
      <c r="E9" s="10"/>
      <c r="F9" s="37"/>
      <c r="G9" s="5"/>
      <c r="H9" s="5"/>
      <c r="I9" s="5"/>
      <c r="J9" s="5"/>
      <c r="K9" s="5"/>
      <c r="L9" s="11"/>
      <c r="M9" s="8"/>
      <c r="N9" s="53"/>
      <c r="O9" s="53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38">
        <v>44229</v>
      </c>
      <c r="AH9" s="8" t="s">
        <v>87</v>
      </c>
      <c r="AI9" s="8" t="s">
        <v>87</v>
      </c>
      <c r="AJ9" s="8" t="s">
        <v>87</v>
      </c>
      <c r="AK9" s="8" t="s">
        <v>88</v>
      </c>
      <c r="AL9" s="8" t="s">
        <v>87</v>
      </c>
      <c r="AM9" s="8" t="s">
        <v>87</v>
      </c>
      <c r="AN9" s="8"/>
      <c r="AO9" s="53"/>
      <c r="AP9" s="53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1"/>
      <c r="BN9" s="1"/>
    </row>
    <row r="10" spans="1:66" ht="15.75" thickBot="1">
      <c r="A10" s="1">
        <v>7</v>
      </c>
      <c r="B10" s="5">
        <v>1212</v>
      </c>
      <c r="C10" s="4" t="s">
        <v>41</v>
      </c>
      <c r="D10" s="10" t="s">
        <v>20</v>
      </c>
      <c r="E10" s="10">
        <v>333</v>
      </c>
      <c r="F10" s="37" t="s">
        <v>40</v>
      </c>
      <c r="G10" s="5">
        <v>291465</v>
      </c>
      <c r="H10" s="5">
        <f t="shared" si="0"/>
        <v>343928.69999999995</v>
      </c>
      <c r="I10" s="5" t="s">
        <v>24</v>
      </c>
      <c r="J10" s="5">
        <v>20</v>
      </c>
      <c r="K10" s="5" t="s">
        <v>22</v>
      </c>
      <c r="L10" s="11" t="s">
        <v>21</v>
      </c>
      <c r="M10" s="8"/>
      <c r="N10" s="51"/>
      <c r="O10" s="35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38"/>
      <c r="AH10" s="38"/>
      <c r="AI10" s="38"/>
      <c r="AJ10" s="8"/>
      <c r="AK10" s="8"/>
      <c r="AL10" s="8"/>
      <c r="AM10" s="8"/>
      <c r="AN10" s="8"/>
      <c r="AO10" s="51"/>
      <c r="AP10" s="35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1"/>
      <c r="BN10" s="1"/>
    </row>
    <row r="11" spans="1:66">
      <c r="A11" s="1">
        <v>8</v>
      </c>
      <c r="B11" s="5">
        <v>123</v>
      </c>
      <c r="C11" s="4" t="s">
        <v>41</v>
      </c>
      <c r="D11" s="10" t="s">
        <v>20</v>
      </c>
      <c r="E11" s="10">
        <v>35</v>
      </c>
      <c r="F11" s="37" t="s">
        <v>40</v>
      </c>
      <c r="G11" s="5">
        <v>291465</v>
      </c>
      <c r="H11" s="5">
        <f>G11*1.18</f>
        <v>343928.69999999995</v>
      </c>
      <c r="I11" s="5" t="s">
        <v>24</v>
      </c>
      <c r="J11" s="5">
        <v>20</v>
      </c>
      <c r="K11" s="5" t="s">
        <v>22</v>
      </c>
      <c r="L11" s="11" t="s">
        <v>21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3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1"/>
      <c r="BN11" s="1"/>
    </row>
    <row r="12" spans="1:66">
      <c r="A12" s="1"/>
      <c r="B12" s="1"/>
      <c r="C12" s="1"/>
      <c r="D12" s="6"/>
      <c r="E12" s="6"/>
      <c r="F12" s="38"/>
      <c r="G12" s="8"/>
      <c r="H12" s="8"/>
      <c r="I12" s="8"/>
      <c r="J12" s="8"/>
      <c r="K12" s="3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1"/>
      <c r="BN12" s="1"/>
    </row>
    <row r="13" spans="1:66">
      <c r="A13" s="1"/>
      <c r="B13" s="1"/>
      <c r="C13" s="1"/>
      <c r="D13" s="6"/>
      <c r="E13" s="6"/>
      <c r="F13" s="38"/>
      <c r="G13" s="8"/>
      <c r="H13" s="8"/>
      <c r="I13" s="8"/>
      <c r="J13" s="8"/>
      <c r="K13" s="3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"/>
      <c r="BN13" s="1"/>
    </row>
    <row r="14" spans="1:66">
      <c r="A14" s="1"/>
      <c r="B14" s="1"/>
      <c r="C14" s="1"/>
      <c r="D14" s="6"/>
      <c r="E14" s="6"/>
      <c r="F14" s="38"/>
      <c r="G14" s="8"/>
      <c r="H14" s="8"/>
      <c r="I14" s="8"/>
      <c r="J14" s="8"/>
      <c r="K14" s="3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1"/>
      <c r="BN14" s="1"/>
    </row>
    <row r="15" spans="1:66">
      <c r="A15" s="1"/>
      <c r="B15" s="1"/>
      <c r="C15" s="1"/>
      <c r="D15" s="6"/>
      <c r="E15" s="6"/>
      <c r="F15" s="38"/>
      <c r="G15" s="8"/>
      <c r="H15" s="8"/>
      <c r="I15" s="8"/>
      <c r="J15" s="8"/>
      <c r="K15" s="3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1"/>
      <c r="BN15" s="1"/>
    </row>
    <row r="16" spans="1:66">
      <c r="F16" s="39"/>
      <c r="K16" s="39"/>
    </row>
    <row r="17" spans="6:11">
      <c r="F17" s="39"/>
      <c r="K17" s="39"/>
    </row>
    <row r="18" spans="6:11">
      <c r="K18" s="39"/>
    </row>
  </sheetData>
  <mergeCells count="41">
    <mergeCell ref="AR1:AR2"/>
    <mergeCell ref="AS1:AS2"/>
    <mergeCell ref="AT1:AT2"/>
    <mergeCell ref="AU1:AU2"/>
    <mergeCell ref="A1:K1"/>
    <mergeCell ref="AN1:AN2"/>
    <mergeCell ref="AO1:AO2"/>
    <mergeCell ref="AP1:AP2"/>
    <mergeCell ref="AQ1:AQ2"/>
    <mergeCell ref="M1:M2"/>
    <mergeCell ref="N1:N2"/>
    <mergeCell ref="O1:O2"/>
    <mergeCell ref="P1:P2"/>
    <mergeCell ref="Q1:Q2"/>
    <mergeCell ref="R1:R2"/>
    <mergeCell ref="S1:S2"/>
    <mergeCell ref="AV1:AV2"/>
    <mergeCell ref="AW1:AW2"/>
    <mergeCell ref="BB1:BB2"/>
    <mergeCell ref="BG1:BG2"/>
    <mergeCell ref="BC1:BC2"/>
    <mergeCell ref="AX1:AX2"/>
    <mergeCell ref="AY1:AY2"/>
    <mergeCell ref="AZ1:AZ2"/>
    <mergeCell ref="BA1:BA2"/>
    <mergeCell ref="BF1:BF2"/>
    <mergeCell ref="BD1:BD2"/>
    <mergeCell ref="BE1:BE2"/>
    <mergeCell ref="T1:T2"/>
    <mergeCell ref="U1:U2"/>
    <mergeCell ref="V1:V2"/>
    <mergeCell ref="W1:W2"/>
    <mergeCell ref="X1:X2"/>
    <mergeCell ref="AD1:AD2"/>
    <mergeCell ref="AE1:AE2"/>
    <mergeCell ref="AF1:AF2"/>
    <mergeCell ref="Y1:Y2"/>
    <mergeCell ref="Z1:Z2"/>
    <mergeCell ref="AA1:AA2"/>
    <mergeCell ref="AB1:AB2"/>
    <mergeCell ref="AC1:AC2"/>
  </mergeCells>
  <pageMargins left="0.7" right="0.7" top="0.75" bottom="0.75" header="0.3" footer="0.3"/>
  <pageSetup scale="20" orientation="portrait" verticalDpi="300" r:id="rId1"/>
  <legacyDrawing r:id="rId2"/>
  <controls>
    <control shapeId="1031" r:id="rId3" name="CommandButton2"/>
    <control shapeId="1030" r:id="rId4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1:J33"/>
  <sheetViews>
    <sheetView tabSelected="1" topLeftCell="B4" workbookViewId="0">
      <selection activeCell="E14" sqref="E14"/>
    </sheetView>
  </sheetViews>
  <sheetFormatPr defaultRowHeight="15"/>
  <cols>
    <col min="1" max="1" width="4.140625" customWidth="1"/>
    <col min="2" max="2" width="8.140625" customWidth="1"/>
    <col min="3" max="3" width="27.42578125" customWidth="1"/>
    <col min="4" max="4" width="20.28515625" customWidth="1"/>
    <col min="5" max="5" width="50.85546875" customWidth="1"/>
    <col min="6" max="6" width="3.5703125" customWidth="1"/>
    <col min="7" max="7" width="53" customWidth="1"/>
    <col min="8" max="8" width="19.5703125" customWidth="1"/>
    <col min="9" max="9" width="10" customWidth="1"/>
    <col min="10" max="10" width="14.5703125" customWidth="1"/>
    <col min="11" max="11" width="3.28515625" customWidth="1"/>
  </cols>
  <sheetData>
    <row r="1" spans="2:10" ht="40.5" customHeight="1"/>
    <row r="2" spans="2:10" ht="30.75" customHeight="1">
      <c r="B2" s="79" t="s">
        <v>25</v>
      </c>
      <c r="C2" s="79"/>
      <c r="D2" s="79"/>
      <c r="E2" s="79"/>
    </row>
    <row r="3" spans="2:10" ht="18.75">
      <c r="B3" s="12"/>
      <c r="C3" s="12"/>
    </row>
    <row r="4" spans="2:10" ht="15.75">
      <c r="B4" s="86" t="s">
        <v>31</v>
      </c>
      <c r="C4" s="86"/>
      <c r="D4" s="86"/>
      <c r="E4" s="43">
        <v>44229</v>
      </c>
    </row>
    <row r="5" spans="2:10" ht="15.75">
      <c r="B5" s="22"/>
      <c r="C5" s="22"/>
      <c r="D5" s="22"/>
    </row>
    <row r="6" spans="2:10" ht="19.5" customHeight="1">
      <c r="B6" s="40">
        <v>1</v>
      </c>
      <c r="C6" s="15" t="s">
        <v>45</v>
      </c>
      <c r="D6" s="17" t="s">
        <v>41</v>
      </c>
    </row>
    <row r="7" spans="2:10" ht="15.75">
      <c r="B7" s="40">
        <v>2</v>
      </c>
      <c r="C7" s="15" t="s">
        <v>46</v>
      </c>
      <c r="D7" s="86" t="s">
        <v>89</v>
      </c>
      <c r="E7" s="86"/>
    </row>
    <row r="8" spans="2:10" ht="15.75">
      <c r="B8" s="41">
        <v>3</v>
      </c>
      <c r="C8" s="16" t="s">
        <v>47</v>
      </c>
      <c r="D8" s="54" t="s">
        <v>91</v>
      </c>
    </row>
    <row r="9" spans="2:10" ht="43.5" customHeight="1" thickBot="1">
      <c r="B9" s="42">
        <v>4</v>
      </c>
      <c r="C9" s="18" t="s">
        <v>48</v>
      </c>
      <c r="D9" s="90" t="s">
        <v>20</v>
      </c>
      <c r="E9" s="90"/>
    </row>
    <row r="10" spans="2:10" ht="22.5" customHeight="1" thickBot="1">
      <c r="B10" s="68" t="s">
        <v>30</v>
      </c>
      <c r="C10" s="87"/>
      <c r="D10" s="69"/>
      <c r="E10" s="19" t="s">
        <v>32</v>
      </c>
      <c r="G10" s="67" t="s">
        <v>49</v>
      </c>
      <c r="H10" s="67"/>
      <c r="I10" s="67"/>
      <c r="J10" s="67"/>
    </row>
    <row r="11" spans="2:10" ht="15" customHeight="1">
      <c r="B11" s="80" t="s">
        <v>92</v>
      </c>
      <c r="C11" s="81"/>
      <c r="D11" s="82"/>
      <c r="E11" s="88" t="s">
        <v>88</v>
      </c>
      <c r="G11" s="67"/>
      <c r="H11" s="67"/>
      <c r="I11" s="67"/>
      <c r="J11" s="67"/>
    </row>
    <row r="12" spans="2:10" ht="26.25" customHeight="1" thickBot="1">
      <c r="B12" s="83" t="s">
        <v>93</v>
      </c>
      <c r="C12" s="84"/>
      <c r="D12" s="85"/>
      <c r="E12" s="89"/>
      <c r="G12" s="75" t="s">
        <v>90</v>
      </c>
      <c r="H12" s="75"/>
      <c r="I12" s="75"/>
      <c r="J12" s="75"/>
    </row>
    <row r="13" spans="2:10" ht="26.25" customHeight="1">
      <c r="B13" s="20"/>
      <c r="C13" s="20"/>
      <c r="D13" s="20"/>
      <c r="E13" s="21"/>
      <c r="G13" s="75"/>
      <c r="H13" s="75"/>
      <c r="I13" s="75"/>
      <c r="J13" s="75"/>
    </row>
    <row r="14" spans="2:10" ht="15.75">
      <c r="B14" s="41">
        <v>5</v>
      </c>
      <c r="C14" s="17" t="s">
        <v>44</v>
      </c>
      <c r="G14" s="75"/>
      <c r="H14" s="75"/>
      <c r="I14" s="75"/>
      <c r="J14" s="75"/>
    </row>
    <row r="15" spans="2:10" ht="15.75">
      <c r="C15" s="17"/>
      <c r="G15" s="76" t="s">
        <v>58</v>
      </c>
      <c r="H15" s="76"/>
      <c r="I15" s="76"/>
      <c r="J15" s="76"/>
    </row>
    <row r="16" spans="2:10" ht="15.75">
      <c r="C16" s="13" t="s">
        <v>26</v>
      </c>
      <c r="G16" s="76"/>
      <c r="H16" s="76"/>
      <c r="I16" s="76"/>
      <c r="J16" s="76"/>
    </row>
    <row r="17" spans="2:10" ht="15.75" thickBot="1"/>
    <row r="18" spans="2:10" ht="16.5" thickBot="1">
      <c r="B18" s="13"/>
      <c r="G18" s="50" t="s">
        <v>30</v>
      </c>
      <c r="H18" s="33" t="s">
        <v>50</v>
      </c>
      <c r="I18" s="68" t="s">
        <v>51</v>
      </c>
      <c r="J18" s="69"/>
    </row>
    <row r="19" spans="2:10" ht="39" customHeight="1">
      <c r="D19" s="16" t="s">
        <v>27</v>
      </c>
      <c r="E19" s="48" t="s">
        <v>28</v>
      </c>
      <c r="G19" s="49" t="str">
        <f>B11</f>
        <v>P.O. Sr. No. -  wz</v>
      </c>
      <c r="H19" s="49" t="str">
        <f>E11</f>
        <v>wwzz</v>
      </c>
      <c r="I19" s="77" t="s">
        <v>59</v>
      </c>
      <c r="J19" s="72">
        <f>E4</f>
        <v>44229</v>
      </c>
    </row>
    <row r="20" spans="2:10" ht="21" thickBot="1">
      <c r="B20" s="14"/>
      <c r="G20" s="47" t="str">
        <f>B12</f>
        <v>(wz)</v>
      </c>
      <c r="H20" s="46"/>
      <c r="I20" s="78"/>
      <c r="J20" s="73"/>
    </row>
    <row r="23" spans="2:10" ht="25.5" customHeight="1">
      <c r="B23" s="44" t="s">
        <v>29</v>
      </c>
      <c r="G23" s="41"/>
    </row>
    <row r="24" spans="2:10" ht="15.75">
      <c r="H24" s="71" t="s">
        <v>52</v>
      </c>
      <c r="I24" s="71"/>
      <c r="J24" s="71"/>
    </row>
    <row r="25" spans="2:10" ht="15.75">
      <c r="H25" s="71" t="s">
        <v>53</v>
      </c>
      <c r="I25" s="71"/>
      <c r="J25" s="71"/>
    </row>
    <row r="27" spans="2:10">
      <c r="G27" s="74" t="s">
        <v>54</v>
      </c>
      <c r="H27" s="74"/>
      <c r="I27" s="74"/>
    </row>
    <row r="28" spans="2:10">
      <c r="G28" s="45" t="s">
        <v>55</v>
      </c>
    </row>
    <row r="29" spans="2:10">
      <c r="G29" s="70" t="s">
        <v>56</v>
      </c>
      <c r="H29" s="70"/>
      <c r="I29" s="70"/>
      <c r="J29" s="70"/>
    </row>
    <row r="30" spans="2:10">
      <c r="G30" s="45" t="s">
        <v>57</v>
      </c>
    </row>
    <row r="31" spans="2:10" ht="21.75" customHeight="1">
      <c r="G31" s="40"/>
    </row>
    <row r="32" spans="2:10" ht="15.75">
      <c r="G32" s="40"/>
      <c r="H32" s="71" t="s">
        <v>52</v>
      </c>
      <c r="I32" s="71"/>
      <c r="J32" s="71"/>
    </row>
    <row r="33" spans="7:10" ht="15.75">
      <c r="G33" s="40"/>
      <c r="H33" s="71" t="s">
        <v>53</v>
      </c>
      <c r="I33" s="71"/>
      <c r="J33" s="71"/>
    </row>
  </sheetData>
  <mergeCells count="20">
    <mergeCell ref="B2:E2"/>
    <mergeCell ref="B11:D11"/>
    <mergeCell ref="B12:D12"/>
    <mergeCell ref="B4:D4"/>
    <mergeCell ref="D7:E7"/>
    <mergeCell ref="B10:D10"/>
    <mergeCell ref="E11:E12"/>
    <mergeCell ref="D9:E9"/>
    <mergeCell ref="H33:J33"/>
    <mergeCell ref="J19:J20"/>
    <mergeCell ref="G27:I27"/>
    <mergeCell ref="G12:J14"/>
    <mergeCell ref="G15:J16"/>
    <mergeCell ref="I19:I20"/>
    <mergeCell ref="G10:J11"/>
    <mergeCell ref="I18:J18"/>
    <mergeCell ref="G29:J29"/>
    <mergeCell ref="H24:J24"/>
    <mergeCell ref="H32:J32"/>
    <mergeCell ref="H25:J25"/>
  </mergeCells>
  <pageMargins left="0.44999999999999996" right="0.44999999999999996" top="0.5" bottom="0.5" header="0.3" footer="0.3"/>
  <pageSetup scale="46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H22" sqref="H22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H26" sqref="H26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5"/>
  <sheetData>
    <row r="1" spans="1:1">
      <c r="A1" t="s">
        <v>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4:A8"/>
  <sheetViews>
    <sheetView workbookViewId="0">
      <selection activeCell="C6" sqref="C6"/>
    </sheetView>
  </sheetViews>
  <sheetFormatPr defaultRowHeight="15"/>
  <cols>
    <col min="1" max="1" width="85.28515625" customWidth="1"/>
  </cols>
  <sheetData>
    <row r="4" spans="1:1">
      <c r="A4" t="s">
        <v>81</v>
      </c>
    </row>
    <row r="6" spans="1:1" ht="222.75" customHeight="1"/>
    <row r="8" spans="1:1" ht="42.75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PO2021</vt:lpstr>
      <vt:lpstr>PO1920</vt:lpstr>
      <vt:lpstr>MRC</vt:lpstr>
      <vt:lpstr>Bill_Pending</vt:lpstr>
      <vt:lpstr>HSD</vt:lpstr>
      <vt:lpstr>Absentee</vt:lpstr>
      <vt:lpstr>PO_JPR</vt:lpstr>
      <vt:lpstr>LD</vt:lpstr>
      <vt:lpstr>Email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2021-02-02T14:05:40Z</dcterms:modified>
</cp:coreProperties>
</file>